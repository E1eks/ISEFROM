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总览" sheetId="1" state="visible" r:id="rId1"/>
    <sheet xmlns:r="http://schemas.openxmlformats.org/officeDocument/2006/relationships" name="任务清单" sheetId="2" state="visible" r:id="rId2"/>
    <sheet xmlns:r="http://schemas.openxmlformats.org/officeDocument/2006/relationships" name="风险预案" sheetId="3" state="visible" r:id="rId3"/>
    <sheet xmlns:r="http://schemas.openxmlformats.org/officeDocument/2006/relationships" name="执行建议"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3864"/>
      <sz val="16"/>
    </font>
    <font>
      <name val="微软雅黑"/>
      <b val="1"/>
      <color rgb="001F3864"/>
      <sz val="10"/>
    </font>
    <font>
      <name val="微软雅黑"/>
      <sz val="10"/>
    </font>
    <font>
      <name val="微软雅黑"/>
      <b val="1"/>
      <color rgb="001F3864"/>
      <sz val="12"/>
    </font>
    <font>
      <name val="微软雅黑"/>
      <b val="1"/>
      <color rgb="00FFFFFF"/>
      <sz val="11"/>
    </font>
    <font>
      <name val="微软雅黑"/>
      <b val="1"/>
      <sz val="10"/>
    </font>
    <font>
      <name val="微软雅黑"/>
      <b val="1"/>
      <color rgb="001F3864"/>
      <sz val="11"/>
    </font>
  </fonts>
  <fills count="7">
    <fill>
      <patternFill/>
    </fill>
    <fill>
      <patternFill patternType="gray125"/>
    </fill>
    <fill>
      <patternFill patternType="solid">
        <fgColor rgb="00D6E4F0"/>
      </patternFill>
    </fill>
    <fill>
      <patternFill patternType="solid">
        <fgColor rgb="001F3864"/>
      </patternFill>
    </fill>
    <fill>
      <patternFill patternType="solid">
        <fgColor rgb="00F2F7FB"/>
      </patternFill>
    </fill>
    <fill>
      <patternFill patternType="solid">
        <fgColor rgb="00FCE4D6"/>
      </patternFill>
    </fill>
    <fill>
      <patternFill patternType="solid">
        <fgColor rgb="00FFF2CC"/>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18">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0" applyAlignment="1" pivotButton="0" quotePrefix="0" xfId="0">
      <alignment horizontal="left" vertical="center"/>
    </xf>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6" fillId="2" borderId="1" applyAlignment="1" pivotButton="0" quotePrefix="0" xfId="0">
      <alignment horizontal="center" vertical="center" wrapText="1"/>
    </xf>
    <xf numFmtId="0" fontId="4" fillId="0" borderId="0" pivotButton="0" quotePrefix="0" xfId="0"/>
    <xf numFmtId="0" fontId="0" fillId="0" borderId="4" pivotButton="0" quotePrefix="0" xfId="0"/>
    <xf numFmtId="0" fontId="0" fillId="0" borderId="5" pivotButton="0" quotePrefix="0" xfId="0"/>
    <xf numFmtId="0" fontId="7" fillId="2" borderId="1" applyAlignment="1" pivotButton="0" quotePrefix="0" xfId="0">
      <alignment horizontal="left" vertical="center"/>
    </xf>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6" borderId="1" applyAlignment="1" pivotButton="0" quotePrefix="0" xfId="0">
      <alignment horizontal="center" vertical="center" wrapText="1"/>
    </xf>
  </cellXfs>
  <cellStyles count="1">
    <cellStyle name="Normal" xfId="0" builtinId="0" hidden="0"/>
  </cellStyles>
  <dxfs count="5">
    <dxf>
      <fill>
        <patternFill patternType="solid">
          <fgColor rgb="00C6EFCE"/>
        </patternFill>
      </fill>
    </dxf>
    <dxf>
      <fill>
        <patternFill patternType="solid">
          <fgColor rgb="00BDD7EE"/>
        </patternFill>
      </fill>
    </dxf>
    <dxf>
      <fill>
        <patternFill patternType="solid">
          <fgColor rgb="00FFC7CE"/>
        </patternFill>
      </fill>
    </dxf>
    <dxf>
      <fill>
        <patternFill patternType="solid">
          <fgColor rgb="00D9D9D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s>
  <sheetData>
    <row r="1" ht="40" customHeight="1">
      <c r="A1" s="1" t="inlineStr">
        <is>
          <t>2028赛季 ISEF ｜ 通用POD-Galerkin ROM 开源流水线</t>
        </is>
      </c>
    </row>
    <row r="3" ht="28" customHeight="1">
      <c r="A3" s="2" t="inlineStr">
        <is>
          <t>项目名称</t>
        </is>
      </c>
      <c r="B3" s="3" t="inlineStr">
        <is>
          <t>通用POD-Galerkin ROM开源流水线（支持抛物、椭圆、弱非线性PDE）</t>
        </is>
      </c>
    </row>
    <row r="4" ht="28" customHeight="1">
      <c r="A4" s="2" t="inlineStr">
        <is>
          <t>核心创新</t>
        </is>
      </c>
      <c r="B4" s="3" t="inlineStr">
        <is>
          <t>①自适应快照采样（含最优性证明） ②可证明后验误差估计（严格上界） ③非线性ROM能量稳定性（李雅普诺夫证明） ④端到端开源框架</t>
        </is>
      </c>
    </row>
    <row r="5" ht="28" customHeight="1">
      <c r="A5" s="2" t="inlineStr">
        <is>
          <t>杀手级应用</t>
        </is>
      </c>
      <c r="B5" s="3" t="inlineStr">
        <is>
          <t>电动车电池包热管理快速参数扫描与优化（500组参数，加速200-600倍，最优设计降温5-8°C）</t>
        </is>
      </c>
    </row>
    <row r="6" ht="28" customHeight="1">
      <c r="A6" s="2" t="inlineStr">
        <is>
          <t>备选应用</t>
        </is>
      </c>
      <c r="B6" s="3" t="inlineStr">
        <is>
          <t>化工厂污染物泄漏近实时扩散预测（列为Future Work）</t>
        </is>
      </c>
    </row>
    <row r="7" ht="28" customHeight="1">
      <c r="A7" s="2" t="inlineStr">
        <is>
          <t>项目目标</t>
        </is>
      </c>
      <c r="B7" s="3" t="inlineStr">
        <is>
          <t>附属赛突围 → 2028年5月美国ISEF全球总决赛 → 角逐Yancopoulos十万大奖</t>
        </is>
      </c>
    </row>
    <row r="8" ht="28" customHeight="1">
      <c r="A8" s="2" t="inlineStr">
        <is>
          <t>研究周期</t>
        </is>
      </c>
      <c r="B8" s="3" t="inlineStr">
        <is>
          <t>2026-12-01 ~ 2027-11-30（正式计入ISEF 12个月）</t>
        </is>
      </c>
    </row>
    <row r="9" ht="28" customHeight="1">
      <c r="A9" s="2" t="inlineStr">
        <is>
          <t>调研筑基</t>
        </is>
      </c>
      <c r="B9" s="3" t="inlineStr">
        <is>
          <t>2026-09 ~ 2026-11（不计入核心研究周期）</t>
        </is>
      </c>
    </row>
    <row r="10" ht="28" customHeight="1">
      <c r="A10" s="2" t="inlineStr">
        <is>
          <t>当前阶段</t>
        </is>
      </c>
      <c r="B10" s="3" t="inlineStr">
        <is>
          <t>第一阶段：调研筑基</t>
        </is>
      </c>
    </row>
    <row r="13" ht="30" customHeight="1">
      <c r="A13" s="4" t="inlineStr">
        <is>
          <t>📊 整体进度统计</t>
        </is>
      </c>
    </row>
    <row r="14">
      <c r="A14" s="5" t="inlineStr">
        <is>
          <t>阶段</t>
        </is>
      </c>
      <c r="B14" s="5" t="inlineStr">
        <is>
          <t>任务总数</t>
        </is>
      </c>
      <c r="C14" s="5" t="inlineStr">
        <is>
          <t>已完成</t>
        </is>
      </c>
      <c r="D14" s="5" t="inlineStr">
        <is>
          <t>进行中</t>
        </is>
      </c>
      <c r="E14" s="5" t="inlineStr">
        <is>
          <t>未开始</t>
        </is>
      </c>
      <c r="F14" s="5" t="inlineStr">
        <is>
          <t>完成率</t>
        </is>
      </c>
    </row>
    <row r="15">
      <c r="A15" s="3" t="inlineStr">
        <is>
          <t>第一阶段：调研筑基</t>
        </is>
      </c>
      <c r="B15" s="6">
        <f>COUNTIF(任务清单!A:A,"第一阶段：调研筑基")</f>
        <v/>
      </c>
      <c r="C15" s="6">
        <f>COUNTIFS(任务清单!A:A,"第一阶段：调研筑基",任务清单!H:H,"已完成")</f>
        <v/>
      </c>
      <c r="D15" s="6">
        <f>COUNTIFS(任务清单!A:A,"第一阶段：调研筑基",任务清单!H:H,"进行中")</f>
        <v/>
      </c>
      <c r="E15" s="6">
        <f>COUNTIFS(任务清单!A:A,"第一阶段：调研筑基",任务清单!H:H,"未开始")</f>
        <v/>
      </c>
      <c r="F15" s="6">
        <f>IF(B15=0,"-",TEXT(C15/B15,"0%"))</f>
        <v/>
      </c>
    </row>
    <row r="16">
      <c r="A16" s="3" t="inlineStr">
        <is>
          <t>第二阶段：核心研究</t>
        </is>
      </c>
      <c r="B16" s="6">
        <f>COUNTIF(任务清单!A:A,"第二阶段：核心研究")</f>
        <v/>
      </c>
      <c r="C16" s="6">
        <f>COUNTIFS(任务清单!A:A,"第二阶段：核心研究",任务清单!H:H,"已完成")</f>
        <v/>
      </c>
      <c r="D16" s="6">
        <f>COUNTIFS(任务清单!A:A,"第二阶段：核心研究",任务清单!H:H,"进行中")</f>
        <v/>
      </c>
      <c r="E16" s="6">
        <f>COUNTIFS(任务清单!A:A,"第二阶段：核心研究",任务清单!H:H,"未开始")</f>
        <v/>
      </c>
      <c r="F16" s="6">
        <f>IF(B16=0,"-",TEXT(C16/B16,"0%"))</f>
        <v/>
      </c>
    </row>
    <row r="17">
      <c r="A17" s="3" t="inlineStr">
        <is>
          <t>第三阶段：附属赛冲刺</t>
        </is>
      </c>
      <c r="B17" s="6">
        <f>COUNTIF(任务清单!A:A,"第三阶段：附属赛冲刺")</f>
        <v/>
      </c>
      <c r="C17" s="6">
        <f>COUNTIFS(任务清单!A:A,"第三阶段：附属赛冲刺",任务清单!H:H,"已完成")</f>
        <v/>
      </c>
      <c r="D17" s="6">
        <f>COUNTIFS(任务清单!A:A,"第三阶段：附属赛冲刺",任务清单!H:H,"进行中")</f>
        <v/>
      </c>
      <c r="E17" s="6">
        <f>COUNTIFS(任务清单!A:A,"第三阶段：附属赛冲刺",任务清单!H:H,"未开始")</f>
        <v/>
      </c>
      <c r="F17" s="6">
        <f>IF(B17=0,"-",TEXT(C17/B17,"0%"))</f>
        <v/>
      </c>
    </row>
    <row r="18">
      <c r="A18" s="3" t="inlineStr">
        <is>
          <t>第四阶段：全球总决赛</t>
        </is>
      </c>
      <c r="B18" s="6">
        <f>COUNTIF(任务清单!A:A,"第四阶段：全球总决赛")</f>
        <v/>
      </c>
      <c r="C18" s="6">
        <f>COUNTIFS(任务清单!A:A,"第四阶段：全球总决赛",任务清单!H:H,"已完成")</f>
        <v/>
      </c>
      <c r="D18" s="6">
        <f>COUNTIFS(任务清单!A:A,"第四阶段：全球总决赛",任务清单!H:H,"进行中")</f>
        <v/>
      </c>
      <c r="E18" s="6">
        <f>COUNTIFS(任务清单!A:A,"第四阶段：全球总决赛",任务清单!H:H,"未开始")</f>
        <v/>
      </c>
      <c r="F18" s="6">
        <f>IF(B18=0,"-",TEXT(C18/B18,"0%"))</f>
        <v/>
      </c>
    </row>
    <row r="19">
      <c r="A19" s="7" t="inlineStr">
        <is>
          <t>合计</t>
        </is>
      </c>
      <c r="B19" s="7">
        <f>SUM(B15:B18)</f>
        <v/>
      </c>
      <c r="C19" s="7">
        <f>SUM(C15:C18)</f>
        <v/>
      </c>
      <c r="D19" s="7">
        <f>SUM(D15:D18)</f>
        <v/>
      </c>
      <c r="E19" s="7">
        <f>SUM(E15:E18)</f>
        <v/>
      </c>
      <c r="F19" s="7">
        <f>IF(B19=0,"-",TEXT(C19/B19,"0%"))</f>
        <v/>
      </c>
    </row>
    <row r="22" ht="30" customHeight="1">
      <c r="A22" s="8" t="inlineStr">
        <is>
          <t>🚩 关键里程碑</t>
        </is>
      </c>
    </row>
    <row r="23">
      <c r="A23" s="5" t="inlineStr">
        <is>
          <t>日期</t>
        </is>
      </c>
      <c r="B23" s="5" t="inlineStr">
        <is>
          <t>里程碑事件</t>
        </is>
      </c>
      <c r="C23" s="9" t="n"/>
      <c r="D23" s="9" t="n"/>
      <c r="E23" s="9" t="n"/>
      <c r="F23" s="10" t="n"/>
    </row>
    <row r="24">
      <c r="A24" s="6" t="inlineStr">
        <is>
          <t>2026-11-30</t>
        </is>
      </c>
      <c r="B24" s="3" t="inlineStr">
        <is>
          <t>调研筑基完成，研究计划定稿</t>
        </is>
      </c>
    </row>
    <row r="25">
      <c r="A25" s="6" t="inlineStr">
        <is>
          <t>2027-03-10</t>
        </is>
      </c>
      <c r="B25" s="3" t="inlineStr">
        <is>
          <t>电池热管理2D模型+10组全阶快照库完成</t>
        </is>
      </c>
    </row>
    <row r="26">
      <c r="A26" s="6" t="inlineStr">
        <is>
          <t>2027-03-31</t>
        </is>
      </c>
      <c r="B26" s="3" t="inlineStr">
        <is>
          <t>里程碑①：抛物+椭圆算例跑通</t>
        </is>
      </c>
    </row>
    <row r="27">
      <c r="A27" s="6" t="inlineStr">
        <is>
          <t>2027-06-30</t>
        </is>
      </c>
      <c r="B27" s="3" t="inlineStr">
        <is>
          <t>500组参数扫描完成，最优设计点确定</t>
        </is>
      </c>
    </row>
    <row r="28">
      <c r="A28" s="6" t="inlineStr">
        <is>
          <t>2027-07-25</t>
        </is>
      </c>
      <c r="B28" s="3" t="inlineStr">
        <is>
          <t>全阶验证完成，量化对比数据出炉</t>
        </is>
      </c>
    </row>
    <row r="29">
      <c r="A29" s="6" t="inlineStr">
        <is>
          <t>2027-07-31</t>
        </is>
      </c>
      <c r="B29" s="3" t="inlineStr">
        <is>
          <t>里程碑②：误差监控三类PDE验证</t>
        </is>
      </c>
    </row>
    <row r="30">
      <c r="A30" s="6" t="inlineStr">
        <is>
          <t>2027-11-30</t>
        </is>
      </c>
      <c r="B30" s="3" t="inlineStr">
        <is>
          <t>代码冻结，附属赛申报截止（硬截止）</t>
        </is>
      </c>
    </row>
    <row r="31">
      <c r="A31" s="6" t="inlineStr">
        <is>
          <t>2028-02-28</t>
        </is>
      </c>
      <c r="B31" s="3" t="inlineStr">
        <is>
          <t>附属赛答辩</t>
        </is>
      </c>
    </row>
    <row r="32">
      <c r="A32" s="6" t="inlineStr">
        <is>
          <t>2028-05-20</t>
        </is>
      </c>
      <c r="B32" s="3" t="inlineStr">
        <is>
          <t>ISEF全球总决赛</t>
        </is>
      </c>
    </row>
  </sheetData>
  <mergeCells count="21">
    <mergeCell ref="B4:F4"/>
    <mergeCell ref="B7:F7"/>
    <mergeCell ref="B25:F25"/>
    <mergeCell ref="B3:F3"/>
    <mergeCell ref="B31:F31"/>
    <mergeCell ref="B27:F27"/>
    <mergeCell ref="A22:F22"/>
    <mergeCell ref="B23:F23"/>
    <mergeCell ref="B8:F8"/>
    <mergeCell ref="B29:F29"/>
    <mergeCell ref="A13:F13"/>
    <mergeCell ref="B10:F10"/>
    <mergeCell ref="B28:F28"/>
    <mergeCell ref="B9:F9"/>
    <mergeCell ref="B30:F30"/>
    <mergeCell ref="B6:F6"/>
    <mergeCell ref="B24:F24"/>
    <mergeCell ref="A1:F1"/>
    <mergeCell ref="B5:F5"/>
    <mergeCell ref="B32:F32"/>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6" customWidth="1" min="3" max="3"/>
    <col width="46" customWidth="1" min="4" max="4"/>
    <col width="24" customWidth="1" min="5" max="5"/>
    <col width="12" customWidth="1" min="6" max="6"/>
    <col width="12" customWidth="1" min="7" max="7"/>
    <col width="10" customWidth="1" min="8" max="8"/>
    <col width="8" customWidth="1" min="9" max="9"/>
    <col width="10" customWidth="1" min="10" max="10"/>
    <col width="22" customWidth="1" min="11" max="11"/>
  </cols>
  <sheetData>
    <row r="1" ht="30" customHeight="1">
      <c r="A1" s="5" t="inlineStr">
        <is>
          <t>阶段</t>
        </is>
      </c>
      <c r="B1" s="5" t="inlineStr">
        <is>
          <t>子阶段</t>
        </is>
      </c>
      <c r="C1" s="5" t="inlineStr">
        <is>
          <t>编号</t>
        </is>
      </c>
      <c r="D1" s="5" t="inlineStr">
        <is>
          <t>任务描述</t>
        </is>
      </c>
      <c r="E1" s="5" t="inlineStr">
        <is>
          <t>交付物</t>
        </is>
      </c>
      <c r="F1" s="5" t="inlineStr">
        <is>
          <t>计划开始</t>
        </is>
      </c>
      <c r="G1" s="5" t="inlineStr">
        <is>
          <t>计划截止</t>
        </is>
      </c>
      <c r="H1" s="5" t="inlineStr">
        <is>
          <t>状态</t>
        </is>
      </c>
      <c r="I1" s="5" t="inlineStr">
        <is>
          <t>优先级</t>
        </is>
      </c>
      <c r="J1" s="5" t="inlineStr">
        <is>
          <t>负责人</t>
        </is>
      </c>
      <c r="K1" s="5" t="inlineStr">
        <is>
          <t>备注</t>
        </is>
      </c>
    </row>
    <row r="2" ht="26" customHeight="1">
      <c r="A2" s="11" t="inlineStr">
        <is>
          <t>第一阶段：调研筑基</t>
        </is>
      </c>
    </row>
    <row r="3" ht="48" customHeight="1">
      <c r="A3" s="3" t="inlineStr">
        <is>
          <t>第一阶段：调研筑基</t>
        </is>
      </c>
      <c r="B3" s="3" t="inlineStr">
        <is>
          <t>—</t>
        </is>
      </c>
      <c r="C3" s="6" t="n">
        <v>1</v>
      </c>
      <c r="D3" s="3" t="inlineStr">
        <is>
          <t>补数学基础：SVD奇异值分解、PDE分类（抛物/椭圆/双曲）、有限差分法、Galerkin投影、变分积分器与李雅普诺夫稳定性（路径A预备）</t>
        </is>
      </c>
      <c r="E3" s="3" t="inlineStr">
        <is>
          <t>读书笔记+公式整理</t>
        </is>
      </c>
      <c r="F3" s="6" t="inlineStr">
        <is>
          <t>2026-09-01</t>
        </is>
      </c>
      <c r="G3" s="6" t="inlineStr">
        <is>
          <t>2026-10-15</t>
        </is>
      </c>
      <c r="H3" s="6" t="inlineStr">
        <is>
          <t>未开始</t>
        </is>
      </c>
      <c r="I3" s="6" t="inlineStr">
        <is>
          <t>高</t>
        </is>
      </c>
      <c r="J3" s="3" t="inlineStr">
        <is>
          <t>A</t>
        </is>
      </c>
      <c r="K3" s="3" t="inlineStr"/>
    </row>
    <row r="4" ht="48" customHeight="1">
      <c r="A4" s="12" t="inlineStr">
        <is>
          <t>第一阶段：调研筑基</t>
        </is>
      </c>
      <c r="B4" s="12" t="inlineStr">
        <is>
          <t>—</t>
        </is>
      </c>
      <c r="C4" s="13" t="n">
        <v>2</v>
      </c>
      <c r="D4" s="12" t="inlineStr">
        <is>
          <t>读ROM入门论文，理解POD-Galerkin离线-在线范式</t>
        </is>
      </c>
      <c r="E4" s="12" t="inlineStr">
        <is>
          <t>文献综述笔记</t>
        </is>
      </c>
      <c r="F4" s="13" t="inlineStr">
        <is>
          <t>2026-09-15</t>
        </is>
      </c>
      <c r="G4" s="13" t="inlineStr">
        <is>
          <t>2026-10-15</t>
        </is>
      </c>
      <c r="H4" s="13" t="inlineStr">
        <is>
          <t>未开始</t>
        </is>
      </c>
      <c r="I4" s="13" t="inlineStr">
        <is>
          <t>高</t>
        </is>
      </c>
      <c r="J4" s="12" t="inlineStr">
        <is>
          <t>共同</t>
        </is>
      </c>
      <c r="K4" s="12" t="inlineStr"/>
    </row>
    <row r="5" ht="48" customHeight="1">
      <c r="A5" s="3" t="inlineStr">
        <is>
          <t>第一阶段：调研筑基</t>
        </is>
      </c>
      <c r="B5" s="3" t="inlineStr">
        <is>
          <t>—</t>
        </is>
      </c>
      <c r="C5" s="6" t="n">
        <v>3</v>
      </c>
      <c r="D5" s="3" t="inlineStr">
        <is>
          <t>手写一维热传导全阶仿真Demo</t>
        </is>
      </c>
      <c r="E5" s="3" t="inlineStr">
        <is>
          <t>可运行Python脚本</t>
        </is>
      </c>
      <c r="F5" s="6" t="inlineStr">
        <is>
          <t>2026-10-01</t>
        </is>
      </c>
      <c r="G5" s="6" t="inlineStr">
        <is>
          <t>2026-10-20</t>
        </is>
      </c>
      <c r="H5" s="6" t="inlineStr">
        <is>
          <t>未开始</t>
        </is>
      </c>
      <c r="I5" s="6" t="inlineStr">
        <is>
          <t>高</t>
        </is>
      </c>
      <c r="J5" s="3" t="inlineStr">
        <is>
          <t>B</t>
        </is>
      </c>
      <c r="K5" s="3" t="inlineStr"/>
    </row>
    <row r="6" ht="48" customHeight="1">
      <c r="A6" s="12" t="inlineStr">
        <is>
          <t>第一阶段：调研筑基</t>
        </is>
      </c>
      <c r="B6" s="12" t="inlineStr">
        <is>
          <t>—</t>
        </is>
      </c>
      <c r="C6" s="13" t="n">
        <v>4</v>
      </c>
      <c r="D6" s="12" t="inlineStr">
        <is>
          <t>复现基础POD-Galerkin最小Demo（热传导），亲身体验ROM不稳定问题</t>
        </is>
      </c>
      <c r="E6" s="12" t="inlineStr">
        <is>
          <t>可运行Demo+失败记录</t>
        </is>
      </c>
      <c r="F6" s="13" t="inlineStr">
        <is>
          <t>2026-10-15</t>
        </is>
      </c>
      <c r="G6" s="13" t="inlineStr">
        <is>
          <t>2026-11-05</t>
        </is>
      </c>
      <c r="H6" s="13" t="inlineStr">
        <is>
          <t>未开始</t>
        </is>
      </c>
      <c r="I6" s="13" t="inlineStr">
        <is>
          <t>高</t>
        </is>
      </c>
      <c r="J6" s="12" t="inlineStr">
        <is>
          <t>共同</t>
        </is>
      </c>
      <c r="K6" s="12" t="inlineStr"/>
    </row>
    <row r="7" ht="48" customHeight="1">
      <c r="A7" s="3" t="inlineStr">
        <is>
          <t>第一阶段：调研筑基</t>
        </is>
      </c>
      <c r="B7" s="3" t="inlineStr">
        <is>
          <t>—</t>
        </is>
      </c>
      <c r="C7" s="6" t="n">
        <v>5</v>
      </c>
      <c r="D7" s="3" t="inlineStr">
        <is>
          <t>确定创新点技术方案+杀手级应用选型（电池热管理为主，污染物扩散为Future Work），明确「不发明新数学」边界</t>
        </is>
      </c>
      <c r="E7" s="3" t="inlineStr">
        <is>
          <t>创新点+应用方案技术文档</t>
        </is>
      </c>
      <c r="F7" s="6" t="inlineStr">
        <is>
          <t>2026-10-25</t>
        </is>
      </c>
      <c r="G7" s="6" t="inlineStr">
        <is>
          <t>2026-11-15</t>
        </is>
      </c>
      <c r="H7" s="6" t="inlineStr">
        <is>
          <t>未开始</t>
        </is>
      </c>
      <c r="I7" s="6" t="inlineStr">
        <is>
          <t>高</t>
        </is>
      </c>
      <c r="J7" s="3" t="inlineStr">
        <is>
          <t>共同</t>
        </is>
      </c>
      <c r="K7" s="3" t="inlineStr"/>
    </row>
    <row r="8" ht="48" customHeight="1">
      <c r="A8" s="12" t="inlineStr">
        <is>
          <t>第一阶段：调研筑基</t>
        </is>
      </c>
      <c r="B8" s="12" t="inlineStr">
        <is>
          <t>—</t>
        </is>
      </c>
      <c r="C8" s="13" t="n">
        <v>6</v>
      </c>
      <c r="D8" s="12" t="inlineStr">
        <is>
          <t>完成ISEF Research Plan、摘要、SRC表格1A/1B</t>
        </is>
      </c>
      <c r="E8" s="12" t="inlineStr">
        <is>
          <t>全套申报材料</t>
        </is>
      </c>
      <c r="F8" s="13" t="inlineStr">
        <is>
          <t>2026-11-01</t>
        </is>
      </c>
      <c r="G8" s="13" t="inlineStr">
        <is>
          <t>2026-11-25</t>
        </is>
      </c>
      <c r="H8" s="13" t="inlineStr">
        <is>
          <t>未开始</t>
        </is>
      </c>
      <c r="I8" s="13" t="inlineStr">
        <is>
          <t>高</t>
        </is>
      </c>
      <c r="J8" s="12" t="inlineStr">
        <is>
          <t>共同</t>
        </is>
      </c>
      <c r="K8" s="12" t="inlineStr"/>
    </row>
    <row r="9" ht="48" customHeight="1">
      <c r="A9" s="3" t="inlineStr">
        <is>
          <t>第一阶段：调研筑基</t>
        </is>
      </c>
      <c r="B9" s="3" t="inlineStr">
        <is>
          <t>—</t>
        </is>
      </c>
      <c r="C9" s="6" t="n">
        <v>7</v>
      </c>
      <c r="D9" s="3" t="inlineStr">
        <is>
          <t>确认指导老师，定稿研究计划</t>
        </is>
      </c>
      <c r="E9" s="3" t="inlineStr">
        <is>
          <t>签字版计划</t>
        </is>
      </c>
      <c r="F9" s="6" t="inlineStr">
        <is>
          <t>2026-11-15</t>
        </is>
      </c>
      <c r="G9" s="6" t="inlineStr">
        <is>
          <t>2026-11-30</t>
        </is>
      </c>
      <c r="H9" s="6" t="inlineStr">
        <is>
          <t>未开始</t>
        </is>
      </c>
      <c r="I9" s="6" t="inlineStr">
        <is>
          <t>高</t>
        </is>
      </c>
      <c r="J9" s="3" t="inlineStr">
        <is>
          <t>共同</t>
        </is>
      </c>
      <c r="K9" s="3" t="inlineStr"/>
    </row>
    <row r="10" ht="26" customHeight="1">
      <c r="A10" s="11" t="inlineStr">
        <is>
          <t>第二阶段：核心研究</t>
        </is>
      </c>
    </row>
    <row r="11" ht="48" customHeight="1">
      <c r="A11" s="3" t="inlineStr">
        <is>
          <t>第二阶段：核心研究</t>
        </is>
      </c>
      <c r="B11" s="3" t="inlineStr">
        <is>
          <t>第1-4月：底层框架+抛物/椭圆算例</t>
        </is>
      </c>
      <c r="C11" s="6" t="n">
        <v>8</v>
      </c>
      <c r="D11" s="3" t="inlineStr">
        <is>
          <t>设计可扩展架构：快照管理、POD分解、Galerkin求解器解耦，不绑定特定PDE</t>
        </is>
      </c>
      <c r="E11" s="3" t="inlineStr">
        <is>
          <t>架构设计文档</t>
        </is>
      </c>
      <c r="F11" s="6" t="inlineStr">
        <is>
          <t>2026-12-01</t>
        </is>
      </c>
      <c r="G11" s="6" t="inlineStr">
        <is>
          <t>2026-12-20</t>
        </is>
      </c>
      <c r="H11" s="6" t="inlineStr">
        <is>
          <t>未开始</t>
        </is>
      </c>
      <c r="I11" s="6" t="inlineStr">
        <is>
          <t>高</t>
        </is>
      </c>
      <c r="J11" s="3" t="inlineStr">
        <is>
          <t>B</t>
        </is>
      </c>
      <c r="K11" s="3" t="inlineStr"/>
    </row>
    <row r="12" ht="48" customHeight="1">
      <c r="A12" s="12" t="inlineStr">
        <is>
          <t>第二阶段：核心研究</t>
        </is>
      </c>
      <c r="B12" s="12" t="inlineStr">
        <is>
          <t>第1-4月：底层框架+抛物/椭圆算例</t>
        </is>
      </c>
      <c r="C12" s="13" t="n">
        <v>9</v>
      </c>
      <c r="D12" s="12" t="inlineStr">
        <is>
          <t>实现基础模块：快照管理器、POD分解器、Galerkin投影求解器</t>
        </is>
      </c>
      <c r="E12" s="12" t="inlineStr">
        <is>
          <t>核心代码库v0.1</t>
        </is>
      </c>
      <c r="F12" s="13" t="inlineStr">
        <is>
          <t>2026-12-15</t>
        </is>
      </c>
      <c r="G12" s="13" t="inlineStr">
        <is>
          <t>2027-01-20</t>
        </is>
      </c>
      <c r="H12" s="13" t="inlineStr">
        <is>
          <t>未开始</t>
        </is>
      </c>
      <c r="I12" s="13" t="inlineStr">
        <is>
          <t>高</t>
        </is>
      </c>
      <c r="J12" s="12" t="inlineStr">
        <is>
          <t>B</t>
        </is>
      </c>
      <c r="K12" s="12" t="inlineStr"/>
    </row>
    <row r="13" ht="48" customHeight="1">
      <c r="A13" s="3" t="inlineStr">
        <is>
          <t>第二阶段：核心研究</t>
        </is>
      </c>
      <c r="B13" s="3" t="inlineStr">
        <is>
          <t>第1-4月：底层框架+抛物/椭圆算例</t>
        </is>
      </c>
      <c r="C13" s="6" t="n">
        <v>10</v>
      </c>
      <c r="D13" s="3" t="inlineStr">
        <is>
          <t>自研模块①：自适应快照采样算法 + 最优性证明（给定快照预算下，误差上界达常数因子最优）</t>
        </is>
      </c>
      <c r="E13" s="3" t="inlineStr">
        <is>
          <t>采样模块代码+测试+最优性证明文档</t>
        </is>
      </c>
      <c r="F13" s="6" t="inlineStr">
        <is>
          <t>2027-01-10</t>
        </is>
      </c>
      <c r="G13" s="6" t="inlineStr">
        <is>
          <t>2027-03-10</t>
        </is>
      </c>
      <c r="H13" s="6" t="inlineStr">
        <is>
          <t>未开始</t>
        </is>
      </c>
      <c r="I13" s="6" t="inlineStr">
        <is>
          <t>高</t>
        </is>
      </c>
      <c r="J13" s="3" t="inlineStr">
        <is>
          <t>A</t>
        </is>
      </c>
      <c r="K13" s="3" t="inlineStr"/>
    </row>
    <row r="14" ht="48" customHeight="1">
      <c r="A14" s="14" t="inlineStr">
        <is>
          <t>第二阶段：核心研究</t>
        </is>
      </c>
      <c r="B14" s="14" t="inlineStr">
        <is>
          <t>第1-4月：底层框架+抛物/椭圆算例</t>
        </is>
      </c>
      <c r="C14" s="15" t="n">
        <v>11</v>
      </c>
      <c r="D14" s="14" t="inlineStr">
        <is>
          <t>【杀手级应用·核心案例】电动车电池包2D热管理参数化模型：含电池单元/散热板/冷却液流道，全阶仿真跑10组代表性参数（拉丁超立方采样）生成快照库</t>
        </is>
      </c>
      <c r="E14" s="14" t="inlineStr">
        <is>
          <t>电池热模型+10组全阶快照库</t>
        </is>
      </c>
      <c r="F14" s="15" t="inlineStr">
        <is>
          <t>2027-01-25</t>
        </is>
      </c>
      <c r="G14" s="15" t="inlineStr">
        <is>
          <t>2027-03-10</t>
        </is>
      </c>
      <c r="H14" s="15" t="inlineStr">
        <is>
          <t>未开始</t>
        </is>
      </c>
      <c r="I14" s="15" t="inlineStr">
        <is>
          <t>高</t>
        </is>
      </c>
      <c r="J14" s="14" t="inlineStr">
        <is>
          <t>B</t>
        </is>
      </c>
      <c r="K14" s="14" t="inlineStr"/>
    </row>
    <row r="15" ht="48" customHeight="1">
      <c r="A15" s="3" t="inlineStr">
        <is>
          <t>第二阶段：核心研究</t>
        </is>
      </c>
      <c r="B15" s="3" t="inlineStr">
        <is>
          <t>第1-4月：底层框架+抛物/椭圆算例</t>
        </is>
      </c>
      <c r="C15" s="6" t="n">
        <v>12</v>
      </c>
      <c r="D15" s="3" t="inlineStr">
        <is>
          <t>算例2：二维泊松方程（椭圆型），验证框架扩展性</t>
        </is>
      </c>
      <c r="E15" s="3" t="inlineStr">
        <is>
          <t>算例结果+误差/加速比数据</t>
        </is>
      </c>
      <c r="F15" s="6" t="inlineStr">
        <is>
          <t>2027-02-15</t>
        </is>
      </c>
      <c r="G15" s="6" t="inlineStr">
        <is>
          <t>2027-03-20</t>
        </is>
      </c>
      <c r="H15" s="6" t="inlineStr">
        <is>
          <t>未开始</t>
        </is>
      </c>
      <c r="I15" s="6" t="inlineStr">
        <is>
          <t>中</t>
        </is>
      </c>
      <c r="J15" s="3" t="inlineStr">
        <is>
          <t>共同</t>
        </is>
      </c>
      <c r="K15" s="3" t="inlineStr"/>
    </row>
    <row r="16" ht="48" customHeight="1">
      <c r="A16" s="16" t="inlineStr">
        <is>
          <t>第二阶段：核心研究</t>
        </is>
      </c>
      <c r="B16" s="16" t="inlineStr">
        <is>
          <t>第1-4月：底层框架+抛物/椭圆算例</t>
        </is>
      </c>
      <c r="C16" s="17" t="n">
        <v>13</v>
      </c>
      <c r="D16" s="16" t="inlineStr">
        <is>
          <t>里程碑检查：两类物理正常跑通；若椭圆算例持续失败→启动退回折中版预案</t>
        </is>
      </c>
      <c r="E16" s="16" t="inlineStr">
        <is>
          <t>里程碑评估报告</t>
        </is>
      </c>
      <c r="F16" s="17" t="inlineStr">
        <is>
          <t>2027-03-25</t>
        </is>
      </c>
      <c r="G16" s="17" t="inlineStr">
        <is>
          <t>2027-03-31</t>
        </is>
      </c>
      <c r="H16" s="17" t="inlineStr">
        <is>
          <t>未开始</t>
        </is>
      </c>
      <c r="I16" s="17" t="inlineStr">
        <is>
          <t>高</t>
        </is>
      </c>
      <c r="J16" s="16" t="inlineStr">
        <is>
          <t>共同</t>
        </is>
      </c>
      <c r="K16" s="16" t="inlineStr"/>
    </row>
    <row r="17" ht="48" customHeight="1">
      <c r="A17" s="3" t="inlineStr">
        <is>
          <t>第二阶段：核心研究</t>
        </is>
      </c>
      <c r="B17" s="3" t="inlineStr">
        <is>
          <t>第5-8月：灵魂模块+弱非线性+杀手级应用</t>
        </is>
      </c>
      <c r="C17" s="6" t="n">
        <v>14</v>
      </c>
      <c r="D17" s="3" t="inlineStr">
        <is>
          <t>自研模块②：可证明的后验误差估计（严格上界，不依赖全阶对照，抛物型PDE下数学证明）+ 运行时实现</t>
        </is>
      </c>
      <c r="E17" s="3" t="inlineStr">
        <is>
          <t>误差估计模块代码+严格上界证明文档</t>
        </is>
      </c>
      <c r="F17" s="6" t="inlineStr">
        <is>
          <t>2027-04-01</t>
        </is>
      </c>
      <c r="G17" s="6" t="inlineStr">
        <is>
          <t>2027-06-10</t>
        </is>
      </c>
      <c r="H17" s="6" t="inlineStr">
        <is>
          <t>未开始</t>
        </is>
      </c>
      <c r="I17" s="6" t="inlineStr">
        <is>
          <t>高</t>
        </is>
      </c>
      <c r="J17" s="3" t="inlineStr">
        <is>
          <t>A</t>
        </is>
      </c>
      <c r="K17" s="3" t="inlineStr"/>
    </row>
    <row r="18" ht="48" customHeight="1">
      <c r="A18" s="12" t="inlineStr">
        <is>
          <t>第二阶段：核心研究</t>
        </is>
      </c>
      <c r="B18" s="12" t="inlineStr">
        <is>
          <t>第5-8月：灵魂模块+弱非线性+杀手级应用</t>
        </is>
      </c>
      <c r="C18" s="13" t="n">
        <v>15</v>
      </c>
      <c r="D18" s="12" t="inlineStr">
        <is>
          <t>自研模块③：失效告警与自动降级逻辑（超阈值告警→触发局部回退）</t>
        </is>
      </c>
      <c r="E18" s="12" t="inlineStr">
        <is>
          <t>降级模块代码+测试</t>
        </is>
      </c>
      <c r="F18" s="13" t="inlineStr">
        <is>
          <t>2027-04-20</t>
        </is>
      </c>
      <c r="G18" s="13" t="inlineStr">
        <is>
          <t>2027-05-31</t>
        </is>
      </c>
      <c r="H18" s="13" t="inlineStr">
        <is>
          <t>未开始</t>
        </is>
      </c>
      <c r="I18" s="13" t="inlineStr">
        <is>
          <t>高</t>
        </is>
      </c>
      <c r="J18" s="12" t="inlineStr">
        <is>
          <t>共同</t>
        </is>
      </c>
      <c r="K18" s="12" t="inlineStr"/>
    </row>
    <row r="19" ht="48" customHeight="1">
      <c r="A19" s="3" t="inlineStr">
        <is>
          <t>第二阶段：核心研究</t>
        </is>
      </c>
      <c r="B19" s="3" t="inlineStr">
        <is>
          <t>第5-8月：灵魂模块+弱非线性+杀手级应用</t>
        </is>
      </c>
      <c r="C19" s="6" t="n">
        <v>16</v>
      </c>
      <c r="D19" s="3" t="inlineStr">
        <is>
          <t>【路径A核心】非线性ROM能量稳定性格式（变分积分器思想）+ 李雅普诺夫稳定性证明，解决弱非线性Galerkin投影数值震荡</t>
        </is>
      </c>
      <c r="E19" s="3" t="inlineStr">
        <is>
          <t>稳定性格式+证明文档+非线性处理模块</t>
        </is>
      </c>
      <c r="F19" s="6" t="inlineStr">
        <is>
          <t>2027-04-15</t>
        </is>
      </c>
      <c r="G19" s="6" t="inlineStr">
        <is>
          <t>2027-07-10</t>
        </is>
      </c>
      <c r="H19" s="6" t="inlineStr">
        <is>
          <t>未开始</t>
        </is>
      </c>
      <c r="I19" s="6" t="inlineStr">
        <is>
          <t>高</t>
        </is>
      </c>
      <c r="J19" s="3" t="inlineStr">
        <is>
          <t>A</t>
        </is>
      </c>
      <c r="K19" s="3" t="inlineStr"/>
    </row>
    <row r="20" ht="48" customHeight="1">
      <c r="A20" s="12" t="inlineStr">
        <is>
          <t>第二阶段：核心研究</t>
        </is>
      </c>
      <c r="B20" s="12" t="inlineStr">
        <is>
          <t>第5-8月：灵魂模块+弱非线性+杀手级应用</t>
        </is>
      </c>
      <c r="C20" s="13" t="n">
        <v>17</v>
      </c>
      <c r="D20" s="12" t="inlineStr">
        <is>
          <t>算例3：反应-扩散方程（弱非线性），验证误差监控跨场景有效性</t>
        </is>
      </c>
      <c r="E20" s="12" t="inlineStr">
        <is>
          <t>算例结果+失效预警记录</t>
        </is>
      </c>
      <c r="F20" s="13" t="inlineStr">
        <is>
          <t>2027-06-01</t>
        </is>
      </c>
      <c r="G20" s="13" t="inlineStr">
        <is>
          <t>2027-07-10</t>
        </is>
      </c>
      <c r="H20" s="13" t="inlineStr">
        <is>
          <t>未开始</t>
        </is>
      </c>
      <c r="I20" s="13" t="inlineStr">
        <is>
          <t>高</t>
        </is>
      </c>
      <c r="J20" s="12" t="inlineStr">
        <is>
          <t>共同</t>
        </is>
      </c>
      <c r="K20" s="12" t="inlineStr"/>
    </row>
    <row r="21" ht="48" customHeight="1">
      <c r="A21" s="3" t="inlineStr">
        <is>
          <t>第二阶段：核心研究</t>
        </is>
      </c>
      <c r="B21" s="3" t="inlineStr">
        <is>
          <t>第5-8月：灵魂模块+弱非线性+杀手级应用</t>
        </is>
      </c>
      <c r="C21" s="6" t="n">
        <v>18</v>
      </c>
      <c r="D21" s="3" t="inlineStr">
        <is>
          <t>大量失败测试：记录ROM何时失效，误差估计能否提前捕捉</t>
        </is>
      </c>
      <c r="E21" s="3" t="inlineStr">
        <is>
          <t>失败案例数据库</t>
        </is>
      </c>
      <c r="F21" s="6" t="inlineStr">
        <is>
          <t>2027-06-15</t>
        </is>
      </c>
      <c r="G21" s="6" t="inlineStr">
        <is>
          <t>2027-07-25</t>
        </is>
      </c>
      <c r="H21" s="6" t="inlineStr">
        <is>
          <t>未开始</t>
        </is>
      </c>
      <c r="I21" s="6" t="inlineStr">
        <is>
          <t>中</t>
        </is>
      </c>
      <c r="J21" s="3" t="inlineStr">
        <is>
          <t>共同</t>
        </is>
      </c>
      <c r="K21" s="3" t="inlineStr"/>
    </row>
    <row r="22" ht="48" customHeight="1">
      <c r="A22" s="14" t="inlineStr">
        <is>
          <t>第二阶段：核心研究</t>
        </is>
      </c>
      <c r="B22" s="14" t="inlineStr">
        <is>
          <t>第5-8月：灵魂模块+弱非线性+杀手级应用</t>
        </is>
      </c>
      <c r="C22" s="15" t="n">
        <v>19</v>
      </c>
      <c r="D22" s="14" t="inlineStr">
        <is>
          <t>【杀手级应用】ROM驱动500组电池热管理参数扫描：遍历材料导热系数/冷却液流速/放电倍率/流道布局，搜索最高温度最低+温度最均匀的最优散热设计</t>
        </is>
      </c>
      <c r="E22" s="14" t="inlineStr">
        <is>
          <t>500组扫描结果+最优设计点</t>
        </is>
      </c>
      <c r="F22" s="15" t="inlineStr">
        <is>
          <t>2027-05-15</t>
        </is>
      </c>
      <c r="G22" s="15" t="inlineStr">
        <is>
          <t>2027-06-30</t>
        </is>
      </c>
      <c r="H22" s="15" t="inlineStr">
        <is>
          <t>未开始</t>
        </is>
      </c>
      <c r="I22" s="15" t="inlineStr">
        <is>
          <t>高</t>
        </is>
      </c>
      <c r="J22" s="14" t="inlineStr">
        <is>
          <t>B</t>
        </is>
      </c>
      <c r="K22" s="14" t="inlineStr"/>
    </row>
    <row r="23" ht="48" customHeight="1">
      <c r="A23" s="14" t="inlineStr">
        <is>
          <t>第二阶段：核心研究</t>
        </is>
      </c>
      <c r="B23" s="14" t="inlineStr">
        <is>
          <t>第5-8月：灵魂模块+弱非线性+杀手级应用</t>
        </is>
      </c>
      <c r="C23" s="15" t="n">
        <v>20</v>
      </c>
      <c r="D23" s="14" t="inlineStr">
        <is>
          <t>【杀手级应用】全阶仿真验证最优设计：量化最高温度降低（目标5-8°C）、加速比（目标200-600×）、预测误差（&lt;3%）、误差监控告警准确率（&gt;90%）</t>
        </is>
      </c>
      <c r="E23" s="14" t="inlineStr">
        <is>
          <t>验证报告+对比数据表</t>
        </is>
      </c>
      <c r="F23" s="15" t="inlineStr">
        <is>
          <t>2027-07-01</t>
        </is>
      </c>
      <c r="G23" s="15" t="inlineStr">
        <is>
          <t>2027-07-25</t>
        </is>
      </c>
      <c r="H23" s="15" t="inlineStr">
        <is>
          <t>未开始</t>
        </is>
      </c>
      <c r="I23" s="15" t="inlineStr">
        <is>
          <t>高</t>
        </is>
      </c>
      <c r="J23" s="14" t="inlineStr">
        <is>
          <t>B</t>
        </is>
      </c>
      <c r="K23" s="14" t="inlineStr"/>
    </row>
    <row r="24" ht="48" customHeight="1">
      <c r="A24" s="16" t="inlineStr">
        <is>
          <t>第二阶段：核心研究</t>
        </is>
      </c>
      <c r="B24" s="16" t="inlineStr">
        <is>
          <t>第5-8月：灵魂模块+弱非线性+杀手级应用</t>
        </is>
      </c>
      <c r="C24" s="17" t="n">
        <v>21</v>
      </c>
      <c r="D24" s="16" t="inlineStr">
        <is>
          <t>里程碑检查：误差监控在三类PDE下均合理；若弱非线性持续调不通→评估是否砍掉</t>
        </is>
      </c>
      <c r="E24" s="16" t="inlineStr">
        <is>
          <t>里程碑评估报告</t>
        </is>
      </c>
      <c r="F24" s="17" t="inlineStr">
        <is>
          <t>2027-07-25</t>
        </is>
      </c>
      <c r="G24" s="17" t="inlineStr">
        <is>
          <t>2027-07-31</t>
        </is>
      </c>
      <c r="H24" s="17" t="inlineStr">
        <is>
          <t>未开始</t>
        </is>
      </c>
      <c r="I24" s="17" t="inlineStr">
        <is>
          <t>高</t>
        </is>
      </c>
      <c r="J24" s="16" t="inlineStr">
        <is>
          <t>共同</t>
        </is>
      </c>
      <c r="K24" s="16" t="inlineStr"/>
    </row>
    <row r="25" ht="48" customHeight="1">
      <c r="A25" s="3" t="inlineStr">
        <is>
          <t>第二阶段：核心研究</t>
        </is>
      </c>
      <c r="B25" s="3" t="inlineStr">
        <is>
          <t>第9-11月：工程封装+定量对比</t>
        </is>
      </c>
      <c r="C25" s="6" t="n">
        <v>22</v>
      </c>
      <c r="D25" s="3" t="inlineStr">
        <is>
          <t>整合端到端流水线：配置文件输入→快照采集→POD-Galerkin→误差监控→结果输出</t>
        </is>
      </c>
      <c r="E25" s="3" t="inlineStr">
        <is>
          <t>完整流水线v1.0</t>
        </is>
      </c>
      <c r="F25" s="6" t="inlineStr">
        <is>
          <t>2027-08-01</t>
        </is>
      </c>
      <c r="G25" s="6" t="inlineStr">
        <is>
          <t>2027-08-31</t>
        </is>
      </c>
      <c r="H25" s="6" t="inlineStr">
        <is>
          <t>未开始</t>
        </is>
      </c>
      <c r="I25" s="6" t="inlineStr">
        <is>
          <t>高</t>
        </is>
      </c>
      <c r="J25" s="3" t="inlineStr">
        <is>
          <t>B</t>
        </is>
      </c>
      <c r="K25" s="3" t="inlineStr"/>
    </row>
    <row r="26" ht="48" customHeight="1">
      <c r="A26" s="12" t="inlineStr">
        <is>
          <t>第二阶段：核心研究</t>
        </is>
      </c>
      <c r="B26" s="12" t="inlineStr">
        <is>
          <t>第9-11月：工程封装+定量对比</t>
        </is>
      </c>
      <c r="C26" s="13" t="n">
        <v>23</v>
      </c>
      <c r="D26" s="12" t="inlineStr">
        <is>
          <t>开源工程化：README教程、三套示例脚本（含电池热管理完整示例）、单元测试</t>
        </is>
      </c>
      <c r="E26" s="12" t="inlineStr">
        <is>
          <t>GitHub仓库（可公开）</t>
        </is>
      </c>
      <c r="F26" s="13" t="inlineStr">
        <is>
          <t>2027-08-15</t>
        </is>
      </c>
      <c r="G26" s="13" t="inlineStr">
        <is>
          <t>2027-09-20</t>
        </is>
      </c>
      <c r="H26" s="13" t="inlineStr">
        <is>
          <t>未开始</t>
        </is>
      </c>
      <c r="I26" s="13" t="inlineStr">
        <is>
          <t>中</t>
        </is>
      </c>
      <c r="J26" s="12" t="inlineStr">
        <is>
          <t>B</t>
        </is>
      </c>
      <c r="K26" s="12" t="inlineStr"/>
    </row>
    <row r="27" ht="48" customHeight="1">
      <c r="A27" s="3" t="inlineStr">
        <is>
          <t>第二阶段：核心研究</t>
        </is>
      </c>
      <c r="B27" s="3" t="inlineStr">
        <is>
          <t>第9-11月：工程封装+定量对比</t>
        </is>
      </c>
      <c r="C27" s="6" t="n">
        <v>24</v>
      </c>
      <c r="D27" s="3" t="inlineStr">
        <is>
          <t>定量对比：你的工具 vs 传统固定快照ROM，以电池热管理为核心案例，三类算例下精度/加速比/失效预警能力对比</t>
        </is>
      </c>
      <c r="E27" s="3" t="inlineStr">
        <is>
          <t>对比实验数据表+图表</t>
        </is>
      </c>
      <c r="F27" s="6" t="inlineStr">
        <is>
          <t>2027-09-01</t>
        </is>
      </c>
      <c r="G27" s="6" t="inlineStr">
        <is>
          <t>2027-10-10</t>
        </is>
      </c>
      <c r="H27" s="6" t="inlineStr">
        <is>
          <t>未开始</t>
        </is>
      </c>
      <c r="I27" s="6" t="inlineStr">
        <is>
          <t>高</t>
        </is>
      </c>
      <c r="J27" s="3" t="inlineStr">
        <is>
          <t>共同</t>
        </is>
      </c>
      <c r="K27" s="3" t="inlineStr"/>
    </row>
    <row r="28" ht="48" customHeight="1">
      <c r="A28" s="12" t="inlineStr">
        <is>
          <t>第二阶段：核心研究</t>
        </is>
      </c>
      <c r="B28" s="12" t="inlineStr">
        <is>
          <t>第9-11月：工程封装+定量对比</t>
        </is>
      </c>
      <c r="C28" s="13" t="n">
        <v>25</v>
      </c>
      <c r="D28" s="12" t="inlineStr">
        <is>
          <t>明确刻画局限性：不支持强非线性、激波、双曲系统；误差估计为上界近似；Future Work提污染物扩散应急预测</t>
        </is>
      </c>
      <c r="E28" s="12" t="inlineStr">
        <is>
          <t>局限性章节（论文用）</t>
        </is>
      </c>
      <c r="F28" s="13" t="inlineStr">
        <is>
          <t>2027-09-15</t>
        </is>
      </c>
      <c r="G28" s="13" t="inlineStr">
        <is>
          <t>2027-10-15</t>
        </is>
      </c>
      <c r="H28" s="13" t="inlineStr">
        <is>
          <t>未开始</t>
        </is>
      </c>
      <c r="I28" s="13" t="inlineStr">
        <is>
          <t>中</t>
        </is>
      </c>
      <c r="J28" s="12" t="inlineStr">
        <is>
          <t>共同</t>
        </is>
      </c>
      <c r="K28" s="12" t="inlineStr"/>
    </row>
    <row r="29" ht="48" customHeight="1">
      <c r="A29" s="3" t="inlineStr">
        <is>
          <t>第二阶段：核心研究</t>
        </is>
      </c>
      <c r="B29" s="3" t="inlineStr">
        <is>
          <t>第9-11月：工程封装+定量对比</t>
        </is>
      </c>
      <c r="C29" s="6" t="n">
        <v>26</v>
      </c>
      <c r="D29" s="3" t="inlineStr">
        <is>
          <t>性能-精度权衡曲线输出模块：ROM维度 vs 预估误差 vs 加速比</t>
        </is>
      </c>
      <c r="E29" s="3" t="inlineStr">
        <is>
          <t>权衡曲线生成工具</t>
        </is>
      </c>
      <c r="F29" s="6" t="inlineStr">
        <is>
          <t>2027-10-01</t>
        </is>
      </c>
      <c r="G29" s="6" t="inlineStr">
        <is>
          <t>2027-10-31</t>
        </is>
      </c>
      <c r="H29" s="6" t="inlineStr">
        <is>
          <t>未开始</t>
        </is>
      </c>
      <c r="I29" s="6" t="inlineStr">
        <is>
          <t>中</t>
        </is>
      </c>
      <c r="J29" s="3" t="inlineStr">
        <is>
          <t>B</t>
        </is>
      </c>
      <c r="K29" s="3" t="inlineStr"/>
    </row>
    <row r="30" ht="48" customHeight="1">
      <c r="A30" s="12" t="inlineStr">
        <is>
          <t>第二阶段：核心研究</t>
        </is>
      </c>
      <c r="B30" s="12" t="inlineStr">
        <is>
          <t>第12月：结题+附属赛递交</t>
        </is>
      </c>
      <c r="C30" s="13" t="n">
        <v>27</v>
      </c>
      <c r="D30" s="12" t="inlineStr">
        <is>
          <t>冻结核心代码（2027-11-30硬截止），不再新增功能</t>
        </is>
      </c>
      <c r="E30" s="12" t="inlineStr">
        <is>
          <t>代码release v1.0</t>
        </is>
      </c>
      <c r="F30" s="13" t="inlineStr">
        <is>
          <t>2027-11-01</t>
        </is>
      </c>
      <c r="G30" s="13" t="inlineStr">
        <is>
          <t>2027-11-20</t>
        </is>
      </c>
      <c r="H30" s="13" t="inlineStr">
        <is>
          <t>未开始</t>
        </is>
      </c>
      <c r="I30" s="13" t="inlineStr">
        <is>
          <t>高</t>
        </is>
      </c>
      <c r="J30" s="12" t="inlineStr">
        <is>
          <t>共同</t>
        </is>
      </c>
      <c r="K30" s="12" t="inlineStr"/>
    </row>
    <row r="31" ht="48" customHeight="1">
      <c r="A31" s="3" t="inlineStr">
        <is>
          <t>第二阶段：核心研究</t>
        </is>
      </c>
      <c r="B31" s="3" t="inlineStr">
        <is>
          <t>第12月：结题+附属赛递交</t>
        </is>
      </c>
      <c r="C31" s="6" t="n">
        <v>28</v>
      </c>
      <c r="D31" s="3" t="inlineStr">
        <is>
          <t>递交附属赛报名、SRC全套表格、项目摘要、研究计划</t>
        </is>
      </c>
      <c r="E31" s="3" t="inlineStr">
        <is>
          <t>申报提交确认</t>
        </is>
      </c>
      <c r="F31" s="6" t="inlineStr">
        <is>
          <t>2027-11-10</t>
        </is>
      </c>
      <c r="G31" s="6" t="inlineStr">
        <is>
          <t>2027-11-28</t>
        </is>
      </c>
      <c r="H31" s="6" t="inlineStr">
        <is>
          <t>未开始</t>
        </is>
      </c>
      <c r="I31" s="6" t="inlineStr">
        <is>
          <t>高</t>
        </is>
      </c>
      <c r="J31" s="3" t="inlineStr">
        <is>
          <t>共同</t>
        </is>
      </c>
      <c r="K31" s="3" t="inlineStr"/>
    </row>
    <row r="32" ht="48" customHeight="1">
      <c r="A32" s="12" t="inlineStr">
        <is>
          <t>第二阶段：核心研究</t>
        </is>
      </c>
      <c r="B32" s="12" t="inlineStr">
        <is>
          <t>第12月：结题+附属赛递交</t>
        </is>
      </c>
      <c r="C32" s="13" t="n">
        <v>29</v>
      </c>
      <c r="D32" s="12" t="inlineStr">
        <is>
          <t>整理全部科研日志、数据、代码版本，确保可追溯</t>
        </is>
      </c>
      <c r="E32" s="12" t="inlineStr">
        <is>
          <t>项目档案包</t>
        </is>
      </c>
      <c r="F32" s="13" t="inlineStr">
        <is>
          <t>2027-11-15</t>
        </is>
      </c>
      <c r="G32" s="13" t="inlineStr">
        <is>
          <t>2027-11-30</t>
        </is>
      </c>
      <c r="H32" s="13" t="inlineStr">
        <is>
          <t>未开始</t>
        </is>
      </c>
      <c r="I32" s="13" t="inlineStr">
        <is>
          <t>高</t>
        </is>
      </c>
      <c r="J32" s="12" t="inlineStr">
        <is>
          <t>共同</t>
        </is>
      </c>
      <c r="K32" s="12" t="inlineStr"/>
    </row>
    <row r="33" ht="26" customHeight="1">
      <c r="A33" s="11" t="inlineStr">
        <is>
          <t>第三阶段：附属赛冲刺</t>
        </is>
      </c>
    </row>
    <row r="34" ht="48" customHeight="1">
      <c r="A34" s="12" t="inlineStr">
        <is>
          <t>第三阶段：附属赛冲刺</t>
        </is>
      </c>
      <c r="B34" s="12" t="inlineStr">
        <is>
          <t>—</t>
        </is>
      </c>
      <c r="C34" s="13" t="n">
        <v>30</v>
      </c>
      <c r="D34" s="12" t="inlineStr">
        <is>
          <t>撰写完整英文科研论文：三轨布局讨好专项评委——①数值方法/POD-Galerkin降阶创新（SIAM/AIP）②开源流水线/工程可用性（ACM/IEEE）③电池热管理工程应用/社会价值（EPA/ASM）；电池热管理为核心案例，含500组扫描结果、全阶验证、局限性、Future Work</t>
        </is>
      </c>
      <c r="E34" s="12" t="inlineStr">
        <is>
          <t>论文PDF</t>
        </is>
      </c>
      <c r="F34" s="13" t="inlineStr">
        <is>
          <t>2027-12-01</t>
        </is>
      </c>
      <c r="G34" s="13" t="inlineStr">
        <is>
          <t>2028-01-15</t>
        </is>
      </c>
      <c r="H34" s="13" t="inlineStr">
        <is>
          <t>未开始</t>
        </is>
      </c>
      <c r="I34" s="13" t="inlineStr">
        <is>
          <t>高</t>
        </is>
      </c>
      <c r="J34" s="12" t="inlineStr">
        <is>
          <t>共同</t>
        </is>
      </c>
      <c r="K34" s="12" t="inlineStr"/>
    </row>
    <row r="35" ht="48" customHeight="1">
      <c r="A35" s="3" t="inlineStr">
        <is>
          <t>第三阶段：附属赛冲刺</t>
        </is>
      </c>
      <c r="B35" s="3" t="inlineStr">
        <is>
          <t>—</t>
        </is>
      </c>
      <c r="C35" s="6" t="n">
        <v>31</v>
      </c>
      <c r="D35" s="3" t="inlineStr">
        <is>
          <t>设计ISEF三折展板Poster：三栏分区对应三类专项评委——左栏数学方法（POD基/SVD谱/Galerkin投影公式）、中栏开源工程（架构图/GitHub链接/加速比）、右栏电池应用（温度图对比/500组扫描散点图/降温5-8°C社会价值）</t>
        </is>
      </c>
      <c r="E35" s="3" t="inlineStr">
        <is>
          <t>展板设计稿+打印</t>
        </is>
      </c>
      <c r="F35" s="6" t="inlineStr">
        <is>
          <t>2027-12-15</t>
        </is>
      </c>
      <c r="G35" s="6" t="inlineStr">
        <is>
          <t>2028-01-31</t>
        </is>
      </c>
      <c r="H35" s="6" t="inlineStr">
        <is>
          <t>未开始</t>
        </is>
      </c>
      <c r="I35" s="6" t="inlineStr">
        <is>
          <t>高</t>
        </is>
      </c>
      <c r="J35" s="3" t="inlineStr">
        <is>
          <t>共同</t>
        </is>
      </c>
      <c r="K35" s="3" t="inlineStr"/>
    </row>
    <row r="36" ht="48" customHeight="1">
      <c r="A36" s="14" t="inlineStr">
        <is>
          <t>第三阶段：附属赛冲刺</t>
        </is>
      </c>
      <c r="B36" s="14" t="inlineStr">
        <is>
          <t>—</t>
        </is>
      </c>
      <c r="C36" s="15" t="n">
        <v>32</v>
      </c>
      <c r="D36" s="14" t="inlineStr">
        <is>
          <t>准备笔记本电脑现场Demo：现场跑电池热管理ROM算例，展示秒级出结果+误差告警实时触发</t>
        </is>
      </c>
      <c r="E36" s="14" t="inlineStr">
        <is>
          <t>Demo脚本+演示流程</t>
        </is>
      </c>
      <c r="F36" s="15" t="inlineStr">
        <is>
          <t>2028-01-01</t>
        </is>
      </c>
      <c r="G36" s="15" t="inlineStr">
        <is>
          <t>2028-01-31</t>
        </is>
      </c>
      <c r="H36" s="15" t="inlineStr">
        <is>
          <t>未开始</t>
        </is>
      </c>
      <c r="I36" s="15" t="inlineStr">
        <is>
          <t>中</t>
        </is>
      </c>
      <c r="J36" s="14" t="inlineStr">
        <is>
          <t>共同</t>
        </is>
      </c>
      <c r="K36" s="14" t="inlineStr"/>
    </row>
    <row r="37" ht="48" customHeight="1">
      <c r="A37" s="3" t="inlineStr">
        <is>
          <t>第三阶段：附属赛冲刺</t>
        </is>
      </c>
      <c r="B37" s="3" t="inlineStr">
        <is>
          <t>—</t>
        </is>
      </c>
      <c r="C37" s="6" t="n">
        <v>33</v>
      </c>
      <c r="D37" s="3" t="inlineStr">
        <is>
          <t>模拟答辩：通用答辩+专项奖评委单独问答——准备SIAM/AIP的数学深问、ACM/IEEE的代码/开源问、EPA/ASM的工程/社会价值问，每类准备3分钟简短介绍</t>
        </is>
      </c>
      <c r="E37" s="3" t="inlineStr">
        <is>
          <t>答辩Q&amp;A文档+录像复盘</t>
        </is>
      </c>
      <c r="F37" s="6" t="inlineStr">
        <is>
          <t>2028-01-15</t>
        </is>
      </c>
      <c r="G37" s="6" t="inlineStr">
        <is>
          <t>2028-02-15</t>
        </is>
      </c>
      <c r="H37" s="6" t="inlineStr">
        <is>
          <t>未开始</t>
        </is>
      </c>
      <c r="I37" s="6" t="inlineStr">
        <is>
          <t>高</t>
        </is>
      </c>
      <c r="J37" s="3" t="inlineStr">
        <is>
          <t>共同</t>
        </is>
      </c>
      <c r="K37" s="3" t="inlineStr"/>
    </row>
    <row r="38" ht="48" customHeight="1">
      <c r="A38" s="12" t="inlineStr">
        <is>
          <t>第三阶段：附属赛冲刺</t>
        </is>
      </c>
      <c r="B38" s="12" t="inlineStr">
        <is>
          <t>—</t>
        </is>
      </c>
      <c r="C38" s="13" t="n">
        <v>34</v>
      </c>
      <c r="D38" s="12" t="inlineStr">
        <is>
          <t>专项奖评委速答卡：一页纸整理数学创新亮点（POD基物理含义/自适应采样省30%快照）、代码架构图、GitHub仓库链接、加速比/降温/误差核心数据；三类评委各一版3分钟电梯演讲</t>
        </is>
      </c>
      <c r="E38" s="12" t="inlineStr">
        <is>
          <t>速答卡+三类评委Q&amp;A文档</t>
        </is>
      </c>
      <c r="F38" s="13" t="inlineStr">
        <is>
          <t>2028-01-20</t>
        </is>
      </c>
      <c r="G38" s="13" t="inlineStr">
        <is>
          <t>2028-02-15</t>
        </is>
      </c>
      <c r="H38" s="13" t="inlineStr">
        <is>
          <t>未开始</t>
        </is>
      </c>
      <c r="I38" s="13" t="inlineStr">
        <is>
          <t>高</t>
        </is>
      </c>
      <c r="J38" s="12" t="inlineStr">
        <is>
          <t>共同</t>
        </is>
      </c>
      <c r="K38" s="12" t="inlineStr"/>
    </row>
    <row r="39" ht="48" customHeight="1">
      <c r="A39" s="3" t="inlineStr">
        <is>
          <t>第三阶段：附属赛冲刺</t>
        </is>
      </c>
      <c r="B39" s="3" t="inlineStr">
        <is>
          <t>—</t>
        </is>
      </c>
      <c r="C39" s="6" t="n">
        <v>35</v>
      </c>
      <c r="D39" s="3" t="inlineStr">
        <is>
          <t>参加附属赛线下答辩，争取ISEF全球总决赛名额</t>
        </is>
      </c>
      <c r="E39" s="3" t="inlineStr">
        <is>
          <t>比赛结果</t>
        </is>
      </c>
      <c r="F39" s="6" t="inlineStr">
        <is>
          <t>2028-02-15</t>
        </is>
      </c>
      <c r="G39" s="6" t="inlineStr">
        <is>
          <t>2028-02-28</t>
        </is>
      </c>
      <c r="H39" s="6" t="inlineStr">
        <is>
          <t>未开始</t>
        </is>
      </c>
      <c r="I39" s="6" t="inlineStr">
        <is>
          <t>高</t>
        </is>
      </c>
      <c r="J39" s="3" t="inlineStr">
        <is>
          <t>共同</t>
        </is>
      </c>
      <c r="K39" s="3" t="inlineStr"/>
    </row>
    <row r="40" ht="26" customHeight="1">
      <c r="A40" s="11" t="inlineStr">
        <is>
          <t>第四阶段：全球总决赛</t>
        </is>
      </c>
    </row>
    <row r="41" ht="48" customHeight="1">
      <c r="A41" s="3" t="inlineStr">
        <is>
          <t>第四阶段：全球总决赛</t>
        </is>
      </c>
      <c r="B41" s="3" t="inlineStr">
        <is>
          <t>—</t>
        </is>
      </c>
      <c r="C41" s="6" t="n">
        <v>36</v>
      </c>
      <c r="D41" s="3" t="inlineStr">
        <is>
          <t>根据附属赛评委反馈优化论文、展板</t>
        </is>
      </c>
      <c r="E41" s="3" t="inlineStr">
        <is>
          <t>升级版材料</t>
        </is>
      </c>
      <c r="F41" s="6" t="inlineStr">
        <is>
          <t>2028-03-01</t>
        </is>
      </c>
      <c r="G41" s="6" t="inlineStr">
        <is>
          <t>2028-03-31</t>
        </is>
      </c>
      <c r="H41" s="6" t="inlineStr">
        <is>
          <t>未开始</t>
        </is>
      </c>
      <c r="I41" s="6" t="inlineStr">
        <is>
          <t>高</t>
        </is>
      </c>
      <c r="J41" s="3" t="inlineStr">
        <is>
          <t>共同</t>
        </is>
      </c>
      <c r="K41" s="3" t="inlineStr"/>
    </row>
    <row r="42" ht="48" customHeight="1">
      <c r="A42" s="12" t="inlineStr">
        <is>
          <t>第四阶段：全球总决赛</t>
        </is>
      </c>
      <c r="B42" s="12" t="inlineStr">
        <is>
          <t>—</t>
        </is>
      </c>
      <c r="C42" s="13" t="n">
        <v>37</v>
      </c>
      <c r="D42" s="12" t="inlineStr">
        <is>
          <t>强化英文答辩，准备Yancopoulos深度面试可能追问的数学/工程细节（电池热模型方程、POD基物理含义）</t>
        </is>
      </c>
      <c r="E42" s="12" t="inlineStr">
        <is>
          <t>深度Q&amp;A文档</t>
        </is>
      </c>
      <c r="F42" s="13" t="inlineStr">
        <is>
          <t>2028-03-15</t>
        </is>
      </c>
      <c r="G42" s="13" t="inlineStr">
        <is>
          <t>2028-04-30</t>
        </is>
      </c>
      <c r="H42" s="13" t="inlineStr">
        <is>
          <t>未开始</t>
        </is>
      </c>
      <c r="I42" s="13" t="inlineStr">
        <is>
          <t>高</t>
        </is>
      </c>
      <c r="J42" s="12" t="inlineStr">
        <is>
          <t>共同</t>
        </is>
      </c>
      <c r="K42" s="12" t="inlineStr"/>
    </row>
    <row r="43" ht="48" customHeight="1">
      <c r="A43" s="3" t="inlineStr">
        <is>
          <t>第四阶段：全球总决赛</t>
        </is>
      </c>
      <c r="B43" s="3" t="inlineStr">
        <is>
          <t>—</t>
        </is>
      </c>
      <c r="C43" s="6" t="n">
        <v>38</v>
      </c>
      <c r="D43" s="3" t="inlineStr">
        <is>
          <t>赴美参加ISEF全球总决赛，展位面试 + Yancopoulos候选深度面试</t>
        </is>
      </c>
      <c r="E43" s="3" t="inlineStr">
        <is>
          <t>比赛结果</t>
        </is>
      </c>
      <c r="F43" s="6" t="inlineStr">
        <is>
          <t>2028-05-01</t>
        </is>
      </c>
      <c r="G43" s="6" t="inlineStr">
        <is>
          <t>2028-05-20</t>
        </is>
      </c>
      <c r="H43" s="6" t="inlineStr">
        <is>
          <t>未开始</t>
        </is>
      </c>
      <c r="I43" s="6" t="inlineStr">
        <is>
          <t>高</t>
        </is>
      </c>
      <c r="J43" s="3" t="inlineStr">
        <is>
          <t>共同</t>
        </is>
      </c>
      <c r="K43" s="3" t="inlineStr"/>
    </row>
  </sheetData>
  <mergeCells count="4">
    <mergeCell ref="A2:K2"/>
    <mergeCell ref="A10:K10"/>
    <mergeCell ref="A40:K40"/>
    <mergeCell ref="A33:K33"/>
  </mergeCells>
  <conditionalFormatting sqref="H2:H43">
    <cfRule type="cellIs" priority="1" operator="equal" dxfId="0">
      <formula>"已完成"</formula>
    </cfRule>
    <cfRule type="cellIs" priority="2" operator="equal" dxfId="1">
      <formula>"进行中"</formula>
    </cfRule>
    <cfRule type="cellIs" priority="3" operator="equal" dxfId="2">
      <formula>"已延期"</formula>
    </cfRule>
    <cfRule type="cellIs" priority="4" operator="equal" dxfId="3">
      <formula>"已取消"</formula>
    </cfRule>
  </conditionalFormatting>
  <conditionalFormatting sqref="J2:J43">
    <cfRule type="cellIs" priority="5" operator="equal" dxfId="1">
      <formula>"A"</formula>
    </cfRule>
    <cfRule type="cellIs" priority="6" operator="equal" dxfId="0">
      <formula>"B"</formula>
    </cfRule>
    <cfRule type="cellIs" priority="7" operator="equal" dxfId="4">
      <formula>"共同"</formula>
    </cfRule>
  </conditionalFormatting>
  <dataValidations count="3">
    <dataValidation sqref="H3 H4 H5 H6 H7 H8 H9 H11 H12 H13 H14 H15 H16 H17 H18 H19 H20 H21 H22 H23 H24 H25 H26 H27 H28 H29 H30 H31 H32 H34 H35 H36 H37 H38 H39 H41 H42 H43" showDropDown="0" showInputMessage="0" showErrorMessage="0" allowBlank="1" error="请选择有效状态" type="list">
      <formula1>"未开始,进行中,已完成,已延期,已取消"</formula1>
    </dataValidation>
    <dataValidation sqref="I3 I4 I5 I6 I7 I8 I9 I11 I12 I13 I14 I15 I16 I17 I18 I19 I20 I21 I22 I23 I24 I25 I26 I27 I28 I29 I30 I31 I32 I34 I35 I36 I37 I38 I39 I41 I42 I43" showDropDown="0" showInputMessage="0" showErrorMessage="0" allowBlank="1" type="list">
      <formula1>"高,中,低"</formula1>
    </dataValidation>
    <dataValidation sqref="J3 J4 J5 J6 J7 J8 J9 J11 J12 J13 J14 J15 J16 J17 J18 J19 J20 J21 J22 J23 J24 J25 J26 J27 J28 J29 J30 J31 J32 J34 J35 J36 J37 J38 J39 J41 J42 J43" showDropDown="0" showInputMessage="0" showErrorMessage="0" allowBlank="1" type="list">
      <formula1>"A,B,共同"</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5"/>
  <cols>
    <col width="16" customWidth="1" min="1" max="1"/>
    <col width="45" customWidth="1" min="2" max="2"/>
    <col width="60" customWidth="1" min="3" max="3"/>
  </cols>
  <sheetData>
    <row r="1" ht="36" customHeight="1">
      <c r="A1" s="1" t="inlineStr">
        <is>
          <t>⚠️ 风险预案（关键逃生门）</t>
        </is>
      </c>
    </row>
    <row r="2" ht="28" customHeight="1">
      <c r="A2" s="5" t="inlineStr">
        <is>
          <t>检查时间点</t>
        </is>
      </c>
      <c r="B2" s="5" t="inlineStr">
        <is>
          <t>触发条件</t>
        </is>
      </c>
      <c r="C2" s="5" t="inlineStr">
        <is>
          <t>应对动作</t>
        </is>
      </c>
    </row>
    <row r="3" ht="50" customHeight="1">
      <c r="A3" s="13" t="inlineStr">
        <is>
          <t>2027-03末</t>
        </is>
      </c>
      <c r="B3" s="12" t="inlineStr">
        <is>
          <t>椭圆算例跑不通 / 误差监控在非抛物下严重失效</t>
        </is>
      </c>
      <c r="C3" s="12" t="inlineStr">
        <is>
          <t>退回折中版：砍掉椭圆、弱非线性，收缩为仅抛物PDE（电池热管理仍可保留），保住项目完整性</t>
        </is>
      </c>
    </row>
    <row r="4" ht="50" customHeight="1">
      <c r="A4" s="6" t="inlineStr">
        <is>
          <t>2027-07末</t>
        </is>
      </c>
      <c r="B4" s="3" t="inlineStr">
        <is>
          <t>弱非线性持续震荡无法收敛</t>
        </is>
      </c>
      <c r="C4" s="3" t="inlineStr">
        <is>
          <t>砍掉反应-扩散算例，保留抛物（电池热管理）+椭圆两类，论文中明确说明弱非线性为未来工作</t>
        </is>
      </c>
    </row>
    <row r="5" ht="50" customHeight="1">
      <c r="A5" s="13" t="inlineStr">
        <is>
          <t>2027-07末</t>
        </is>
      </c>
      <c r="B5" s="12" t="inlineStr">
        <is>
          <t>电池热管理500组扫描结果与全阶验证误差&gt;5%</t>
        </is>
      </c>
      <c r="C5" s="12" t="inlineStr">
        <is>
          <t>增加快照库到20组，或收缩参数空间到最关键的3个变量，确保核心案例可信</t>
        </is>
      </c>
    </row>
    <row r="6" ht="50" customHeight="1">
      <c r="A6" s="6" t="inlineStr">
        <is>
          <t>全程</t>
        </is>
      </c>
      <c r="B6" s="3" t="inlineStr">
        <is>
          <t>ROM方向完全不可控</t>
        </is>
      </c>
      <c r="C6" s="3" t="inlineStr">
        <is>
          <t>切换至太空碎片风险评估流水线备选项目，沉没成本可控</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14" customWidth="1" min="1" max="1"/>
    <col width="80" customWidth="1" min="2" max="2"/>
  </cols>
  <sheetData>
    <row r="1" ht="36" customHeight="1">
      <c r="A1" s="1" t="inlineStr">
        <is>
          <t>📅 每日/每周/每月执行建议</t>
        </is>
      </c>
    </row>
    <row r="2" ht="28" customHeight="1">
      <c r="A2" s="5" t="inlineStr">
        <is>
          <t>频率</t>
        </is>
      </c>
      <c r="B2" s="5" t="inlineStr">
        <is>
          <t>建议内容</t>
        </is>
      </c>
    </row>
    <row r="3" ht="45" customHeight="1">
      <c r="A3" s="13" t="inlineStr">
        <is>
          <t>每天</t>
        </is>
      </c>
      <c r="B3" s="12" t="inlineStr">
        <is>
          <t>3-5小时有效投入，写科研日志记录当天做了什么、遇到什么Bug、怎么解决的（ISEF非常看重过程记录）</t>
        </is>
      </c>
    </row>
    <row r="4" ht="45" customHeight="1">
      <c r="A4" s="6" t="inlineStr">
        <is>
          <t>每周日</t>
        </is>
      </c>
      <c r="B4" s="3" t="inlineStr">
        <is>
          <t>回顾本周进度，对照清单更新状态，调整下周计划</t>
        </is>
      </c>
    </row>
    <row r="5" ht="45" customHeight="1">
      <c r="A5" s="13" t="inlineStr">
        <is>
          <t>每月末</t>
        </is>
      </c>
      <c r="B5" s="12" t="inlineStr">
        <is>
          <t>做一次里程碑评估，确认是否需要启动风险预案</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2026-09-11T12:04:40Z</dcterms:created>
  <dcterms:modified xmlns:dcterms="http://purl.org/dc/terms/" xmlns:xsi="http://www.w3.org/2001/XMLSchema-instance" xsi:type="dcterms:W3CDTF">2026-09-11T12:04:40Z</dcterms:modified>
</cp:coreProperties>
</file>